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ts" sheetId="1" state="visible" r:id="rId3"/>
    <sheet name="Ki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<sst xmlns="http://schemas.openxmlformats.org/spreadsheetml/2006/main" count="259" uniqueCount="109">
  <si>
    <t xml:space="preserve">HV Swim Bendigo — merchandise kits</t>
  </si>
  <si>
    <t xml:space="preserve">Every line below is a product that exists in the HV Swim catalogue. Retail prices are the current preview prices from the build.</t>
  </si>
  <si>
    <t xml:space="preserve">Blue cells are for you to fill in: supplier, quoted unit cost, and the kit price you decide to sell at.</t>
  </si>
  <si>
    <t xml:space="preserve">Kit</t>
  </si>
  <si>
    <t xml:space="preserve">Who it is for</t>
  </si>
  <si>
    <t xml:space="preserve">SKU</t>
  </si>
  <si>
    <t xml:space="preserve">Product</t>
  </si>
  <si>
    <t xml:space="preserve">Category</t>
  </si>
  <si>
    <t xml:space="preserve">Suggested route</t>
  </si>
  <si>
    <t xml:space="preserve">Retail (ea)</t>
  </si>
  <si>
    <t xml:space="preserve">Qty</t>
  </si>
  <si>
    <t xml:space="preserve">Line retail</t>
  </si>
  <si>
    <t xml:space="preserve">Supplier</t>
  </si>
  <si>
    <t xml:space="preserve">Quoted cost (ea)</t>
  </si>
  <si>
    <t xml:space="preserve">Line cost</t>
  </si>
  <si>
    <t xml:space="preserve">First Splash Kit</t>
  </si>
  <si>
    <t xml:space="preserve">New swimmers</t>
  </si>
  <si>
    <t xml:space="preserve">HV-GOGGLES</t>
  </si>
  <si>
    <t xml:space="preserve">HV Swim Goggles</t>
  </si>
  <si>
    <t xml:space="preserve">Equipment</t>
  </si>
  <si>
    <t xml:space="preserve">Specialist swim supplier</t>
  </si>
  <si>
    <t xml:space="preserve">HV-CAP</t>
  </si>
  <si>
    <t xml:space="preserve">HV Swim Team Cap</t>
  </si>
  <si>
    <t xml:space="preserve">Caps</t>
  </si>
  <si>
    <t xml:space="preserve">VistaPrint or Printify</t>
  </si>
  <si>
    <t xml:space="preserve">HV-MINI-HOODED-TOWEL</t>
  </si>
  <si>
    <t xml:space="preserve">HV Swim Mini Hooded Towel</t>
  </si>
  <si>
    <t xml:space="preserve">Towels</t>
  </si>
  <si>
    <t xml:space="preserve">VistaPrint or textile supplier</t>
  </si>
  <si>
    <t xml:space="preserve">HV-BOTTLE</t>
  </si>
  <si>
    <t xml:space="preserve">HV Swim Named Insulated Bottle</t>
  </si>
  <si>
    <t xml:space="preserve">Bottles</t>
  </si>
  <si>
    <t xml:space="preserve">VistaPrint / bulk drinkware</t>
  </si>
  <si>
    <t xml:space="preserve">First Splash Kit — kit total</t>
  </si>
  <si>
    <t xml:space="preserve">Lesson Day Kit</t>
  </si>
  <si>
    <t xml:space="preserve">Weekly swimmers</t>
  </si>
  <si>
    <t xml:space="preserve">HV-RASHIE</t>
  </si>
  <si>
    <t xml:space="preserve">HV Swim Kids Rashie</t>
  </si>
  <si>
    <t xml:space="preserve">Swimwear</t>
  </si>
  <si>
    <t xml:space="preserve">HV-SWIM-SHORTS</t>
  </si>
  <si>
    <t xml:space="preserve">HV Swim Kids Swim Shorts</t>
  </si>
  <si>
    <t xml:space="preserve">HV-TRAINING-MITTS</t>
  </si>
  <si>
    <t xml:space="preserve">HV Swim Silicone Training Mitts</t>
  </si>
  <si>
    <t xml:space="preserve">HV-HOODED-TOWEL</t>
  </si>
  <si>
    <t xml:space="preserve">HV Swim Embroidered Hooded Towel Poncho</t>
  </si>
  <si>
    <t xml:space="preserve">HV-BAG</t>
  </si>
  <si>
    <t xml:space="preserve">HV Swim Pool-Deck Bag</t>
  </si>
  <si>
    <t xml:space="preserve">Bags</t>
  </si>
  <si>
    <t xml:space="preserve">Printify or specialist</t>
  </si>
  <si>
    <t xml:space="preserve">Lesson Day Kit — kit total</t>
  </si>
  <si>
    <t xml:space="preserve">Sun &amp; Season Kit</t>
  </si>
  <si>
    <t xml:space="preserve">Outdoor season</t>
  </si>
  <si>
    <t xml:space="preserve">HV-KIDS-SUN-HAT</t>
  </si>
  <si>
    <t xml:space="preserve">HV Swim Kids Sun Hat</t>
  </si>
  <si>
    <t xml:space="preserve">HV-TOWEL</t>
  </si>
  <si>
    <t xml:space="preserve">HV Swim Premium Embroidered Towel</t>
  </si>
  <si>
    <t xml:space="preserve">Sun &amp; Season Kit — kit total</t>
  </si>
  <si>
    <t xml:space="preserve">Poolside Parent Kit</t>
  </si>
  <si>
    <t xml:space="preserve">Parents on the deck</t>
  </si>
  <si>
    <t xml:space="preserve">HV-FAMILY-CREW</t>
  </si>
  <si>
    <t xml:space="preserve">HV Swim Family Club Crew</t>
  </si>
  <si>
    <t xml:space="preserve">Lifestyle</t>
  </si>
  <si>
    <t xml:space="preserve">Printify → Shopify</t>
  </si>
  <si>
    <t xml:space="preserve">HV-INSULATED-TUMBLER</t>
  </si>
  <si>
    <t xml:space="preserve">HV Swim Insulated Coffee Cup</t>
  </si>
  <si>
    <t xml:space="preserve">Drinkware</t>
  </si>
  <si>
    <t xml:space="preserve">Poolside Parent Kit — kit total</t>
  </si>
  <si>
    <t xml:space="preserve">Family Club Kit</t>
  </si>
  <si>
    <t xml:space="preserve">Families + supporters</t>
  </si>
  <si>
    <t xml:space="preserve">HV-FAMILY-TEE</t>
  </si>
  <si>
    <t xml:space="preserve">HV Swim Family Club Tee</t>
  </si>
  <si>
    <t xml:space="preserve">Family Club Kit — kit total</t>
  </si>
  <si>
    <t xml:space="preserve">Instructor Uniform</t>
  </si>
  <si>
    <t xml:space="preserve">Every instructor</t>
  </si>
  <si>
    <t xml:space="preserve">HV-STAFF-POLO</t>
  </si>
  <si>
    <t xml:space="preserve">HV Swim Staff Polo</t>
  </si>
  <si>
    <t xml:space="preserve">Uniforms</t>
  </si>
  <si>
    <t xml:space="preserve">Uniform supplier (embroidery)</t>
  </si>
  <si>
    <t xml:space="preserve">HV-STAFF-TEE</t>
  </si>
  <si>
    <t xml:space="preserve">HV Swim Staff Performance Shirt</t>
  </si>
  <si>
    <t xml:space="preserve">HV-STAFF-SHORTS</t>
  </si>
  <si>
    <t xml:space="preserve">HV Swim Staff Deck Shorts</t>
  </si>
  <si>
    <t xml:space="preserve">HV-INSTRUCTOR-CAP</t>
  </si>
  <si>
    <t xml:space="preserve">HV Swim Instructor Cap</t>
  </si>
  <si>
    <t xml:space="preserve">Instructor Uniform — kit total</t>
  </si>
  <si>
    <t xml:space="preserve">Winter Deck Uniform</t>
  </si>
  <si>
    <t xml:space="preserve">Cold-weather shifts</t>
  </si>
  <si>
    <t xml:space="preserve">HV-STAFF-PUFFER-VEST</t>
  </si>
  <si>
    <t xml:space="preserve">HV Swim Staff Puffer Vest</t>
  </si>
  <si>
    <t xml:space="preserve">HV-STAFF-PUFFER-JACKET</t>
  </si>
  <si>
    <t xml:space="preserve">HV Swim Staff Puffer Jacket</t>
  </si>
  <si>
    <t xml:space="preserve">HV-STAFF-TRACKPANTS</t>
  </si>
  <si>
    <t xml:space="preserve">HV Swim Staff Track Pants</t>
  </si>
  <si>
    <t xml:space="preserve">HV-TEAM-HOODIE</t>
  </si>
  <si>
    <t xml:space="preserve">HV Swim Team Hoodie</t>
  </si>
  <si>
    <t xml:space="preserve">Winter Deck Uniform — kit total</t>
  </si>
  <si>
    <t xml:space="preserve">Kit summary</t>
  </si>
  <si>
    <t xml:space="preserve">Kit price is yours to set. Margin updates automatically once you enter it.</t>
  </si>
  <si>
    <t xml:space="preserve">Group</t>
  </si>
  <si>
    <t xml:space="preserve">Items</t>
  </si>
  <si>
    <t xml:space="preserve">Components retail</t>
  </si>
  <si>
    <t xml:space="preserve">Kit price (you set)</t>
  </si>
  <si>
    <t xml:space="preserve">Difference</t>
  </si>
  <si>
    <t xml:space="preserve">Margin on retail</t>
  </si>
  <si>
    <t xml:space="preserve">For the swimmer</t>
  </si>
  <si>
    <t xml:space="preserve">Parents and families</t>
  </si>
  <si>
    <t xml:space="preserve">Staff uniform</t>
  </si>
  <si>
    <t xml:space="preserve">Components retail is the sum of the individual product prices, not a bundle price.</t>
  </si>
  <si>
    <t xml:space="preserve">Source: HV Swim product catalogue, backend/database.py seed, as at 30 Aug 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</si>
</sst>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6214A"/>
      <name val="Arial"/>
      <family val="0"/>
      <charset val="1"/>
    </font>
    <font>
      <i val="true"/>
      <sz val="9"/>
      <color rgb="FF4F6477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6214A"/>
      <name val="Arial"/>
      <family val="0"/>
      <charset val="1"/>
    </font>
    <font>
      <b val="true"/>
      <sz val="15"/>
      <color rgb="FF06214A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6214A"/>
        <bgColor rgb="FF003300"/>
      </patternFill>
    </fill>
    <fill>
      <patternFill patternType="solid">
        <fgColor rgb="FFF2F8FD"/>
        <bgColor rgb="FFFFFFFF"/>
      </patternFill>
    </fill>
    <fill>
      <patternFill patternType="solid">
        <fgColor rgb="FFFFD44D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4EF"/>
      </left>
      <right style="thin">
        <color rgb="FFD9E4EF"/>
      </right>
      <top style="thin">
        <color rgb="FFD9E4EF"/>
      </top>
      <bottom style="thin">
        <color rgb="FFD9E4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8FD"/>
      <rgbColor rgb="FFCCFFFF"/>
      <rgbColor rgb="FF660066"/>
      <rgbColor rgb="FFFF8080"/>
      <rgbColor rgb="FF0066CC"/>
      <rgbColor rgb="FFD9E4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44D"/>
      <rgbColor rgb="FF3366FF"/>
      <rgbColor rgb="FF33CCCC"/>
      <rgbColor rgb="FF99CC00"/>
      <rgbColor rgb="FFFFCC00"/>
      <rgbColor rgb="FFFF9900"/>
      <rgbColor rgb="FFFF6600"/>
      <rgbColor rgb="FF4F6477"/>
      <rgbColor rgb="FF969696"/>
      <rgbColor rgb="FF0621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42"/>
    <col collapsed="false" customWidth="true" hidden="false" outlineLevel="0" max="5" min="5" style="0" width="13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3"/>
    <col collapsed="false" customWidth="true" hidden="false" outlineLevel="0" max="10" min="10" style="0" width="26"/>
    <col collapsed="false" customWidth="true" hidden="false" outlineLevel="0" max="11" min="11" style="0" width="15"/>
    <col collapsed="false" customWidth="true" hidden="false" outlineLevel="0" max="12" min="12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6" t="n">
        <v>24.95</v>
      </c>
      <c r="H6" s="5" t="n">
        <v>1</v>
      </c>
      <c r="I6" s="6" t="n">
        <f aca="false">G6*H6</f>
        <v>24.95</v>
      </c>
      <c r="J6" s="7"/>
      <c r="K6" s="8"/>
      <c r="L6" s="6" t="n">
        <f aca="false">K6*H6</f>
        <v>0</v>
      </c>
    </row>
    <row r="7" customFormat="false" ht="15" hidden="false" customHeight="false" outlineLevel="0" collapsed="false">
      <c r="A7" s="5" t="s">
        <v>15</v>
      </c>
      <c r="B7" s="5" t="s">
        <v>16</v>
      </c>
      <c r="C7" s="5" t="s">
        <v>21</v>
      </c>
      <c r="D7" s="5" t="s">
        <v>22</v>
      </c>
      <c r="E7" s="5" t="s">
        <v>23</v>
      </c>
      <c r="F7" s="5" t="s">
        <v>24</v>
      </c>
      <c r="G7" s="6" t="n">
        <v>14.95</v>
      </c>
      <c r="H7" s="5" t="n">
        <v>1</v>
      </c>
      <c r="I7" s="6" t="n">
        <f aca="false">G7*H7</f>
        <v>14.95</v>
      </c>
      <c r="J7" s="7"/>
      <c r="K7" s="8"/>
      <c r="L7" s="6" t="n">
        <f aca="false">K7*H7</f>
        <v>0</v>
      </c>
    </row>
    <row r="8" customFormat="false" ht="15" hidden="false" customHeight="false" outlineLevel="0" collapsed="false">
      <c r="A8" s="5" t="s">
        <v>15</v>
      </c>
      <c r="B8" s="5" t="s">
        <v>16</v>
      </c>
      <c r="C8" s="5" t="s">
        <v>25</v>
      </c>
      <c r="D8" s="5" t="s">
        <v>26</v>
      </c>
      <c r="E8" s="5" t="s">
        <v>27</v>
      </c>
      <c r="F8" s="5" t="s">
        <v>28</v>
      </c>
      <c r="G8" s="6" t="n">
        <v>49.95</v>
      </c>
      <c r="H8" s="5" t="n">
        <v>1</v>
      </c>
      <c r="I8" s="6" t="n">
        <f aca="false">G8*H8</f>
        <v>49.95</v>
      </c>
      <c r="J8" s="7"/>
      <c r="K8" s="8"/>
      <c r="L8" s="6" t="n">
        <f aca="false">K8*H8</f>
        <v>0</v>
      </c>
    </row>
    <row r="9" customFormat="false" ht="15" hidden="false" customHeight="false" outlineLevel="0" collapsed="false">
      <c r="A9" s="5" t="s">
        <v>15</v>
      </c>
      <c r="B9" s="5" t="s">
        <v>16</v>
      </c>
      <c r="C9" s="5" t="s">
        <v>29</v>
      </c>
      <c r="D9" s="5" t="s">
        <v>30</v>
      </c>
      <c r="E9" s="5" t="s">
        <v>31</v>
      </c>
      <c r="F9" s="5" t="s">
        <v>32</v>
      </c>
      <c r="G9" s="6" t="n">
        <v>29.95</v>
      </c>
      <c r="H9" s="5" t="n">
        <v>1</v>
      </c>
      <c r="I9" s="6" t="n">
        <f aca="false">G9*H9</f>
        <v>29.95</v>
      </c>
      <c r="J9" s="7"/>
      <c r="K9" s="8"/>
      <c r="L9" s="6" t="n">
        <f aca="false">K9*H9</f>
        <v>0</v>
      </c>
    </row>
    <row r="10" customFormat="false" ht="15" hidden="false" customHeight="false" outlineLevel="0" collapsed="false">
      <c r="A10" s="9"/>
      <c r="B10" s="9"/>
      <c r="C10" s="9"/>
      <c r="D10" s="10" t="s">
        <v>33</v>
      </c>
      <c r="E10" s="9"/>
      <c r="F10" s="9"/>
      <c r="G10" s="9"/>
      <c r="H10" s="9"/>
      <c r="I10" s="11" t="n">
        <f aca="false">SUM(I6:I9)</f>
        <v>119.8</v>
      </c>
      <c r="J10" s="9"/>
      <c r="K10" s="9"/>
      <c r="L10" s="11" t="n">
        <f aca="false">SUM(L6:L9)</f>
        <v>0</v>
      </c>
    </row>
    <row r="12" customFormat="false" ht="15" hidden="false" customHeight="false" outlineLevel="0" collapsed="false">
      <c r="A12" s="5" t="s">
        <v>34</v>
      </c>
      <c r="B12" s="5" t="s">
        <v>35</v>
      </c>
      <c r="C12" s="5" t="s">
        <v>36</v>
      </c>
      <c r="D12" s="5" t="s">
        <v>37</v>
      </c>
      <c r="E12" s="5" t="s">
        <v>38</v>
      </c>
      <c r="F12" s="5" t="s">
        <v>20</v>
      </c>
      <c r="G12" s="6" t="n">
        <v>44.95</v>
      </c>
      <c r="H12" s="5" t="n">
        <v>1</v>
      </c>
      <c r="I12" s="6" t="n">
        <f aca="false">G12*H12</f>
        <v>44.95</v>
      </c>
      <c r="J12" s="7"/>
      <c r="K12" s="8"/>
      <c r="L12" s="6" t="n">
        <f aca="false">K12*H12</f>
        <v>0</v>
      </c>
    </row>
    <row r="13" customFormat="false" ht="15" hidden="false" customHeight="false" outlineLevel="0" collapsed="false">
      <c r="A13" s="5" t="s">
        <v>34</v>
      </c>
      <c r="B13" s="5" t="s">
        <v>35</v>
      </c>
      <c r="C13" s="5" t="s">
        <v>39</v>
      </c>
      <c r="D13" s="5" t="s">
        <v>40</v>
      </c>
      <c r="E13" s="5" t="s">
        <v>38</v>
      </c>
      <c r="F13" s="5" t="s">
        <v>20</v>
      </c>
      <c r="G13" s="6" t="n">
        <v>39.95</v>
      </c>
      <c r="H13" s="5" t="n">
        <v>1</v>
      </c>
      <c r="I13" s="6" t="n">
        <f aca="false">G13*H13</f>
        <v>39.95</v>
      </c>
      <c r="J13" s="7"/>
      <c r="K13" s="8"/>
      <c r="L13" s="6" t="n">
        <f aca="false">K13*H13</f>
        <v>0</v>
      </c>
    </row>
    <row r="14" customFormat="false" ht="15" hidden="false" customHeight="false" outlineLevel="0" collapsed="false">
      <c r="A14" s="5" t="s">
        <v>34</v>
      </c>
      <c r="B14" s="5" t="s">
        <v>35</v>
      </c>
      <c r="C14" s="5" t="s">
        <v>17</v>
      </c>
      <c r="D14" s="5" t="s">
        <v>18</v>
      </c>
      <c r="E14" s="5" t="s">
        <v>19</v>
      </c>
      <c r="F14" s="5" t="s">
        <v>20</v>
      </c>
      <c r="G14" s="6" t="n">
        <v>24.95</v>
      </c>
      <c r="H14" s="5" t="n">
        <v>1</v>
      </c>
      <c r="I14" s="6" t="n">
        <f aca="false">G14*H14</f>
        <v>24.95</v>
      </c>
      <c r="J14" s="7"/>
      <c r="K14" s="8"/>
      <c r="L14" s="6" t="n">
        <f aca="false">K14*H14</f>
        <v>0</v>
      </c>
    </row>
    <row r="15" customFormat="false" ht="15" hidden="false" customHeight="false" outlineLevel="0" collapsed="false">
      <c r="A15" s="5" t="s">
        <v>34</v>
      </c>
      <c r="B15" s="5" t="s">
        <v>35</v>
      </c>
      <c r="C15" s="5" t="s">
        <v>21</v>
      </c>
      <c r="D15" s="5" t="s">
        <v>22</v>
      </c>
      <c r="E15" s="5" t="s">
        <v>23</v>
      </c>
      <c r="F15" s="5" t="s">
        <v>24</v>
      </c>
      <c r="G15" s="6" t="n">
        <v>14.95</v>
      </c>
      <c r="H15" s="5" t="n">
        <v>1</v>
      </c>
      <c r="I15" s="6" t="n">
        <f aca="false">G15*H15</f>
        <v>14.95</v>
      </c>
      <c r="J15" s="7"/>
      <c r="K15" s="8"/>
      <c r="L15" s="6" t="n">
        <f aca="false">K15*H15</f>
        <v>0</v>
      </c>
    </row>
    <row r="16" customFormat="false" ht="15" hidden="false" customHeight="false" outlineLevel="0" collapsed="false">
      <c r="A16" s="5" t="s">
        <v>34</v>
      </c>
      <c r="B16" s="5" t="s">
        <v>35</v>
      </c>
      <c r="C16" s="5" t="s">
        <v>41</v>
      </c>
      <c r="D16" s="5" t="s">
        <v>42</v>
      </c>
      <c r="E16" s="5" t="s">
        <v>19</v>
      </c>
      <c r="F16" s="5" t="s">
        <v>20</v>
      </c>
      <c r="G16" s="6" t="n">
        <v>19.95</v>
      </c>
      <c r="H16" s="5" t="n">
        <v>1</v>
      </c>
      <c r="I16" s="6" t="n">
        <f aca="false">G16*H16</f>
        <v>19.95</v>
      </c>
      <c r="J16" s="7"/>
      <c r="K16" s="8"/>
      <c r="L16" s="6" t="n">
        <f aca="false">K16*H16</f>
        <v>0</v>
      </c>
    </row>
    <row r="17" customFormat="false" ht="15" hidden="false" customHeight="false" outlineLevel="0" collapsed="false">
      <c r="A17" s="5" t="s">
        <v>34</v>
      </c>
      <c r="B17" s="5" t="s">
        <v>35</v>
      </c>
      <c r="C17" s="5" t="s">
        <v>43</v>
      </c>
      <c r="D17" s="5" t="s">
        <v>44</v>
      </c>
      <c r="E17" s="5" t="s">
        <v>27</v>
      </c>
      <c r="F17" s="5" t="s">
        <v>28</v>
      </c>
      <c r="G17" s="6" t="n">
        <v>59.95</v>
      </c>
      <c r="H17" s="5" t="n">
        <v>1</v>
      </c>
      <c r="I17" s="6" t="n">
        <f aca="false">G17*H17</f>
        <v>59.95</v>
      </c>
      <c r="J17" s="7"/>
      <c r="K17" s="8"/>
      <c r="L17" s="6" t="n">
        <f aca="false">K17*H17</f>
        <v>0</v>
      </c>
    </row>
    <row r="18" customFormat="false" ht="15" hidden="false" customHeight="false" outlineLevel="0" collapsed="false">
      <c r="A18" s="5" t="s">
        <v>34</v>
      </c>
      <c r="B18" s="5" t="s">
        <v>35</v>
      </c>
      <c r="C18" s="5" t="s">
        <v>45</v>
      </c>
      <c r="D18" s="5" t="s">
        <v>46</v>
      </c>
      <c r="E18" s="5" t="s">
        <v>47</v>
      </c>
      <c r="F18" s="5" t="s">
        <v>48</v>
      </c>
      <c r="G18" s="6" t="n">
        <v>39.95</v>
      </c>
      <c r="H18" s="5" t="n">
        <v>1</v>
      </c>
      <c r="I18" s="6" t="n">
        <f aca="false">G18*H18</f>
        <v>39.95</v>
      </c>
      <c r="J18" s="7"/>
      <c r="K18" s="8"/>
      <c r="L18" s="6" t="n">
        <f aca="false">K18*H18</f>
        <v>0</v>
      </c>
    </row>
    <row r="19" customFormat="false" ht="15" hidden="false" customHeight="false" outlineLevel="0" collapsed="false">
      <c r="A19" s="5" t="s">
        <v>34</v>
      </c>
      <c r="B19" s="5" t="s">
        <v>35</v>
      </c>
      <c r="C19" s="5" t="s">
        <v>29</v>
      </c>
      <c r="D19" s="5" t="s">
        <v>30</v>
      </c>
      <c r="E19" s="5" t="s">
        <v>31</v>
      </c>
      <c r="F19" s="5" t="s">
        <v>32</v>
      </c>
      <c r="G19" s="6" t="n">
        <v>29.95</v>
      </c>
      <c r="H19" s="5" t="n">
        <v>1</v>
      </c>
      <c r="I19" s="6" t="n">
        <f aca="false">G19*H19</f>
        <v>29.95</v>
      </c>
      <c r="J19" s="7"/>
      <c r="K19" s="8"/>
      <c r="L19" s="6" t="n">
        <f aca="false">K19*H19</f>
        <v>0</v>
      </c>
    </row>
    <row r="20" customFormat="false" ht="15" hidden="false" customHeight="false" outlineLevel="0" collapsed="false">
      <c r="A20" s="9"/>
      <c r="B20" s="9"/>
      <c r="C20" s="9"/>
      <c r="D20" s="10" t="s">
        <v>49</v>
      </c>
      <c r="E20" s="9"/>
      <c r="F20" s="9"/>
      <c r="G20" s="9"/>
      <c r="H20" s="9"/>
      <c r="I20" s="11" t="n">
        <f aca="false">SUM(I12:I19)</f>
        <v>274.6</v>
      </c>
      <c r="J20" s="9"/>
      <c r="K20" s="9"/>
      <c r="L20" s="11" t="n">
        <f aca="false">SUM(L12:L19)</f>
        <v>0</v>
      </c>
    </row>
    <row r="22" customFormat="false" ht="15" hidden="false" customHeight="false" outlineLevel="0" collapsed="false">
      <c r="A22" s="5" t="s">
        <v>50</v>
      </c>
      <c r="B22" s="5" t="s">
        <v>51</v>
      </c>
      <c r="C22" s="5" t="s">
        <v>52</v>
      </c>
      <c r="D22" s="5" t="s">
        <v>53</v>
      </c>
      <c r="E22" s="5" t="s">
        <v>23</v>
      </c>
      <c r="F22" s="5" t="s">
        <v>24</v>
      </c>
      <c r="G22" s="6" t="n">
        <v>29.95</v>
      </c>
      <c r="H22" s="5" t="n">
        <v>1</v>
      </c>
      <c r="I22" s="6" t="n">
        <f aca="false">G22*H22</f>
        <v>29.95</v>
      </c>
      <c r="J22" s="7"/>
      <c r="K22" s="8"/>
      <c r="L22" s="6" t="n">
        <f aca="false">K22*H22</f>
        <v>0</v>
      </c>
    </row>
    <row r="23" customFormat="false" ht="15" hidden="false" customHeight="false" outlineLevel="0" collapsed="false">
      <c r="A23" s="5" t="s">
        <v>50</v>
      </c>
      <c r="B23" s="5" t="s">
        <v>51</v>
      </c>
      <c r="C23" s="5" t="s">
        <v>36</v>
      </c>
      <c r="D23" s="5" t="s">
        <v>37</v>
      </c>
      <c r="E23" s="5" t="s">
        <v>38</v>
      </c>
      <c r="F23" s="5" t="s">
        <v>20</v>
      </c>
      <c r="G23" s="6" t="n">
        <v>44.95</v>
      </c>
      <c r="H23" s="5" t="n">
        <v>1</v>
      </c>
      <c r="I23" s="6" t="n">
        <f aca="false">G23*H23</f>
        <v>44.95</v>
      </c>
      <c r="J23" s="7"/>
      <c r="K23" s="8"/>
      <c r="L23" s="6" t="n">
        <f aca="false">K23*H23</f>
        <v>0</v>
      </c>
    </row>
    <row r="24" customFormat="false" ht="15" hidden="false" customHeight="false" outlineLevel="0" collapsed="false">
      <c r="A24" s="5" t="s">
        <v>50</v>
      </c>
      <c r="B24" s="5" t="s">
        <v>51</v>
      </c>
      <c r="C24" s="5" t="s">
        <v>54</v>
      </c>
      <c r="D24" s="5" t="s">
        <v>55</v>
      </c>
      <c r="E24" s="5" t="s">
        <v>27</v>
      </c>
      <c r="F24" s="5" t="s">
        <v>28</v>
      </c>
      <c r="G24" s="6" t="n">
        <v>39.95</v>
      </c>
      <c r="H24" s="5" t="n">
        <v>1</v>
      </c>
      <c r="I24" s="6" t="n">
        <f aca="false">G24*H24</f>
        <v>39.95</v>
      </c>
      <c r="J24" s="7"/>
      <c r="K24" s="8"/>
      <c r="L24" s="6" t="n">
        <f aca="false">K24*H24</f>
        <v>0</v>
      </c>
    </row>
    <row r="25" customFormat="false" ht="15" hidden="false" customHeight="false" outlineLevel="0" collapsed="false">
      <c r="A25" s="5" t="s">
        <v>50</v>
      </c>
      <c r="B25" s="5" t="s">
        <v>51</v>
      </c>
      <c r="C25" s="5" t="s">
        <v>29</v>
      </c>
      <c r="D25" s="5" t="s">
        <v>30</v>
      </c>
      <c r="E25" s="5" t="s">
        <v>31</v>
      </c>
      <c r="F25" s="5" t="s">
        <v>32</v>
      </c>
      <c r="G25" s="6" t="n">
        <v>29.95</v>
      </c>
      <c r="H25" s="5" t="n">
        <v>1</v>
      </c>
      <c r="I25" s="6" t="n">
        <f aca="false">G25*H25</f>
        <v>29.95</v>
      </c>
      <c r="J25" s="7"/>
      <c r="K25" s="8"/>
      <c r="L25" s="6" t="n">
        <f aca="false">K25*H25</f>
        <v>0</v>
      </c>
    </row>
    <row r="26" customFormat="false" ht="15" hidden="false" customHeight="false" outlineLevel="0" collapsed="false">
      <c r="A26" s="5" t="s">
        <v>50</v>
      </c>
      <c r="B26" s="5" t="s">
        <v>51</v>
      </c>
      <c r="C26" s="5" t="s">
        <v>17</v>
      </c>
      <c r="D26" s="5" t="s">
        <v>18</v>
      </c>
      <c r="E26" s="5" t="s">
        <v>19</v>
      </c>
      <c r="F26" s="5" t="s">
        <v>20</v>
      </c>
      <c r="G26" s="6" t="n">
        <v>24.95</v>
      </c>
      <c r="H26" s="5" t="n">
        <v>1</v>
      </c>
      <c r="I26" s="6" t="n">
        <f aca="false">G26*H26</f>
        <v>24.95</v>
      </c>
      <c r="J26" s="7"/>
      <c r="K26" s="8"/>
      <c r="L26" s="6" t="n">
        <f aca="false">K26*H26</f>
        <v>0</v>
      </c>
    </row>
    <row r="27" customFormat="false" ht="15" hidden="false" customHeight="false" outlineLevel="0" collapsed="false">
      <c r="A27" s="9"/>
      <c r="B27" s="9"/>
      <c r="C27" s="9"/>
      <c r="D27" s="10" t="s">
        <v>56</v>
      </c>
      <c r="E27" s="9"/>
      <c r="F27" s="9"/>
      <c r="G27" s="9"/>
      <c r="H27" s="9"/>
      <c r="I27" s="11" t="n">
        <f aca="false">SUM(I22:I26)</f>
        <v>169.75</v>
      </c>
      <c r="J27" s="9"/>
      <c r="K27" s="9"/>
      <c r="L27" s="11" t="n">
        <f aca="false">SUM(L22:L26)</f>
        <v>0</v>
      </c>
    </row>
    <row r="29" customFormat="false" ht="15" hidden="false" customHeight="false" outlineLevel="0" collapsed="false">
      <c r="A29" s="5" t="s">
        <v>57</v>
      </c>
      <c r="B29" s="5" t="s">
        <v>58</v>
      </c>
      <c r="C29" s="5" t="s">
        <v>59</v>
      </c>
      <c r="D29" s="5" t="s">
        <v>60</v>
      </c>
      <c r="E29" s="5" t="s">
        <v>61</v>
      </c>
      <c r="F29" s="5" t="s">
        <v>62</v>
      </c>
      <c r="G29" s="6" t="n">
        <v>64.95</v>
      </c>
      <c r="H29" s="5" t="n">
        <v>1</v>
      </c>
      <c r="I29" s="6" t="n">
        <f aca="false">G29*H29</f>
        <v>64.95</v>
      </c>
      <c r="J29" s="7"/>
      <c r="K29" s="8"/>
      <c r="L29" s="6" t="n">
        <f aca="false">K29*H29</f>
        <v>0</v>
      </c>
    </row>
    <row r="30" customFormat="false" ht="15" hidden="false" customHeight="false" outlineLevel="0" collapsed="false">
      <c r="A30" s="5" t="s">
        <v>57</v>
      </c>
      <c r="B30" s="5" t="s">
        <v>58</v>
      </c>
      <c r="C30" s="5" t="s">
        <v>63</v>
      </c>
      <c r="D30" s="5" t="s">
        <v>64</v>
      </c>
      <c r="E30" s="5" t="s">
        <v>65</v>
      </c>
      <c r="F30" s="5" t="s">
        <v>32</v>
      </c>
      <c r="G30" s="6" t="n">
        <v>34.95</v>
      </c>
      <c r="H30" s="5" t="n">
        <v>1</v>
      </c>
      <c r="I30" s="6" t="n">
        <f aca="false">G30*H30</f>
        <v>34.95</v>
      </c>
      <c r="J30" s="7"/>
      <c r="K30" s="8"/>
      <c r="L30" s="6" t="n">
        <f aca="false">K30*H30</f>
        <v>0</v>
      </c>
    </row>
    <row r="31" customFormat="false" ht="15" hidden="false" customHeight="false" outlineLevel="0" collapsed="false">
      <c r="A31" s="5" t="s">
        <v>57</v>
      </c>
      <c r="B31" s="5" t="s">
        <v>58</v>
      </c>
      <c r="C31" s="5" t="s">
        <v>54</v>
      </c>
      <c r="D31" s="5" t="s">
        <v>55</v>
      </c>
      <c r="E31" s="5" t="s">
        <v>27</v>
      </c>
      <c r="F31" s="5" t="s">
        <v>28</v>
      </c>
      <c r="G31" s="6" t="n">
        <v>39.95</v>
      </c>
      <c r="H31" s="5" t="n">
        <v>1</v>
      </c>
      <c r="I31" s="6" t="n">
        <f aca="false">G31*H31</f>
        <v>39.95</v>
      </c>
      <c r="J31" s="7"/>
      <c r="K31" s="8"/>
      <c r="L31" s="6" t="n">
        <f aca="false">K31*H31</f>
        <v>0</v>
      </c>
    </row>
    <row r="32" customFormat="false" ht="15" hidden="false" customHeight="false" outlineLevel="0" collapsed="false">
      <c r="A32" s="9"/>
      <c r="B32" s="9"/>
      <c r="C32" s="9"/>
      <c r="D32" s="10" t="s">
        <v>66</v>
      </c>
      <c r="E32" s="9"/>
      <c r="F32" s="9"/>
      <c r="G32" s="9"/>
      <c r="H32" s="9"/>
      <c r="I32" s="11" t="n">
        <f aca="false">SUM(I29:I31)</f>
        <v>139.85</v>
      </c>
      <c r="J32" s="9"/>
      <c r="K32" s="9"/>
      <c r="L32" s="11" t="n">
        <f aca="false">SUM(L29:L31)</f>
        <v>0</v>
      </c>
    </row>
    <row r="34" customFormat="false" ht="15" hidden="false" customHeight="false" outlineLevel="0" collapsed="false">
      <c r="A34" s="5" t="s">
        <v>67</v>
      </c>
      <c r="B34" s="5" t="s">
        <v>68</v>
      </c>
      <c r="C34" s="5" t="s">
        <v>69</v>
      </c>
      <c r="D34" s="5" t="s">
        <v>70</v>
      </c>
      <c r="E34" s="5" t="s">
        <v>61</v>
      </c>
      <c r="F34" s="5" t="s">
        <v>62</v>
      </c>
      <c r="G34" s="6" t="n">
        <v>34.95</v>
      </c>
      <c r="H34" s="5" t="n">
        <v>1</v>
      </c>
      <c r="I34" s="6" t="n">
        <f aca="false">G34*H34</f>
        <v>34.95</v>
      </c>
      <c r="J34" s="7"/>
      <c r="K34" s="8"/>
      <c r="L34" s="6" t="n">
        <f aca="false">K34*H34</f>
        <v>0</v>
      </c>
    </row>
    <row r="35" customFormat="false" ht="15" hidden="false" customHeight="false" outlineLevel="0" collapsed="false">
      <c r="A35" s="5" t="s">
        <v>67</v>
      </c>
      <c r="B35" s="5" t="s">
        <v>68</v>
      </c>
      <c r="C35" s="5" t="s">
        <v>59</v>
      </c>
      <c r="D35" s="5" t="s">
        <v>60</v>
      </c>
      <c r="E35" s="5" t="s">
        <v>61</v>
      </c>
      <c r="F35" s="5" t="s">
        <v>62</v>
      </c>
      <c r="G35" s="6" t="n">
        <v>64.95</v>
      </c>
      <c r="H35" s="5" t="n">
        <v>1</v>
      </c>
      <c r="I35" s="6" t="n">
        <f aca="false">G35*H35</f>
        <v>64.95</v>
      </c>
      <c r="J35" s="7"/>
      <c r="K35" s="8"/>
      <c r="L35" s="6" t="n">
        <f aca="false">K35*H35</f>
        <v>0</v>
      </c>
    </row>
    <row r="36" customFormat="false" ht="15" hidden="false" customHeight="false" outlineLevel="0" collapsed="false">
      <c r="A36" s="5" t="s">
        <v>67</v>
      </c>
      <c r="B36" s="5" t="s">
        <v>68</v>
      </c>
      <c r="C36" s="5" t="s">
        <v>29</v>
      </c>
      <c r="D36" s="5" t="s">
        <v>30</v>
      </c>
      <c r="E36" s="5" t="s">
        <v>31</v>
      </c>
      <c r="F36" s="5" t="s">
        <v>32</v>
      </c>
      <c r="G36" s="6" t="n">
        <v>29.95</v>
      </c>
      <c r="H36" s="5" t="n">
        <v>1</v>
      </c>
      <c r="I36" s="6" t="n">
        <f aca="false">G36*H36</f>
        <v>29.95</v>
      </c>
      <c r="J36" s="7"/>
      <c r="K36" s="8"/>
      <c r="L36" s="6" t="n">
        <f aca="false">K36*H36</f>
        <v>0</v>
      </c>
    </row>
    <row r="37" customFormat="false" ht="15" hidden="false" customHeight="false" outlineLevel="0" collapsed="false">
      <c r="A37" s="5" t="s">
        <v>67</v>
      </c>
      <c r="B37" s="5" t="s">
        <v>68</v>
      </c>
      <c r="C37" s="5" t="s">
        <v>54</v>
      </c>
      <c r="D37" s="5" t="s">
        <v>55</v>
      </c>
      <c r="E37" s="5" t="s">
        <v>27</v>
      </c>
      <c r="F37" s="5" t="s">
        <v>28</v>
      </c>
      <c r="G37" s="6" t="n">
        <v>39.95</v>
      </c>
      <c r="H37" s="5" t="n">
        <v>1</v>
      </c>
      <c r="I37" s="6" t="n">
        <f aca="false">G37*H37</f>
        <v>39.95</v>
      </c>
      <c r="J37" s="7"/>
      <c r="K37" s="8"/>
      <c r="L37" s="6" t="n">
        <f aca="false">K37*H37</f>
        <v>0</v>
      </c>
    </row>
    <row r="38" customFormat="false" ht="15" hidden="false" customHeight="false" outlineLevel="0" collapsed="false">
      <c r="A38" s="9"/>
      <c r="B38" s="9"/>
      <c r="C38" s="9"/>
      <c r="D38" s="10" t="s">
        <v>71</v>
      </c>
      <c r="E38" s="9"/>
      <c r="F38" s="9"/>
      <c r="G38" s="9"/>
      <c r="H38" s="9"/>
      <c r="I38" s="11" t="n">
        <f aca="false">SUM(I34:I37)</f>
        <v>169.8</v>
      </c>
      <c r="J38" s="9"/>
      <c r="K38" s="9"/>
      <c r="L38" s="11" t="n">
        <f aca="false">SUM(L34:L37)</f>
        <v>0</v>
      </c>
    </row>
    <row r="40" customFormat="false" ht="15" hidden="false" customHeight="false" outlineLevel="0" collapsed="false">
      <c r="A40" s="5" t="s">
        <v>72</v>
      </c>
      <c r="B40" s="5" t="s">
        <v>73</v>
      </c>
      <c r="C40" s="5" t="s">
        <v>74</v>
      </c>
      <c r="D40" s="5" t="s">
        <v>75</v>
      </c>
      <c r="E40" s="5" t="s">
        <v>76</v>
      </c>
      <c r="F40" s="5" t="s">
        <v>77</v>
      </c>
      <c r="G40" s="6" t="n">
        <v>44.95</v>
      </c>
      <c r="H40" s="5" t="n">
        <v>1</v>
      </c>
      <c r="I40" s="6" t="n">
        <f aca="false">G40*H40</f>
        <v>44.95</v>
      </c>
      <c r="J40" s="7"/>
      <c r="K40" s="8"/>
      <c r="L40" s="6" t="n">
        <f aca="false">K40*H40</f>
        <v>0</v>
      </c>
    </row>
    <row r="41" customFormat="false" ht="15" hidden="false" customHeight="false" outlineLevel="0" collapsed="false">
      <c r="A41" s="5" t="s">
        <v>72</v>
      </c>
      <c r="B41" s="5" t="s">
        <v>73</v>
      </c>
      <c r="C41" s="5" t="s">
        <v>78</v>
      </c>
      <c r="D41" s="5" t="s">
        <v>79</v>
      </c>
      <c r="E41" s="5" t="s">
        <v>76</v>
      </c>
      <c r="F41" s="5" t="s">
        <v>77</v>
      </c>
      <c r="G41" s="6" t="n">
        <v>39.95</v>
      </c>
      <c r="H41" s="5" t="n">
        <v>1</v>
      </c>
      <c r="I41" s="6" t="n">
        <f aca="false">G41*H41</f>
        <v>39.95</v>
      </c>
      <c r="J41" s="7"/>
      <c r="K41" s="8"/>
      <c r="L41" s="6" t="n">
        <f aca="false">K41*H41</f>
        <v>0</v>
      </c>
    </row>
    <row r="42" customFormat="false" ht="15" hidden="false" customHeight="false" outlineLevel="0" collapsed="false">
      <c r="A42" s="5" t="s">
        <v>72</v>
      </c>
      <c r="B42" s="5" t="s">
        <v>73</v>
      </c>
      <c r="C42" s="5" t="s">
        <v>80</v>
      </c>
      <c r="D42" s="5" t="s">
        <v>81</v>
      </c>
      <c r="E42" s="5" t="s">
        <v>76</v>
      </c>
      <c r="F42" s="5" t="s">
        <v>77</v>
      </c>
      <c r="G42" s="6" t="n">
        <v>44.95</v>
      </c>
      <c r="H42" s="5" t="n">
        <v>1</v>
      </c>
      <c r="I42" s="6" t="n">
        <f aca="false">G42*H42</f>
        <v>44.95</v>
      </c>
      <c r="J42" s="7"/>
      <c r="K42" s="8"/>
      <c r="L42" s="6" t="n">
        <f aca="false">K42*H42</f>
        <v>0</v>
      </c>
    </row>
    <row r="43" customFormat="false" ht="15" hidden="false" customHeight="false" outlineLevel="0" collapsed="false">
      <c r="A43" s="5" t="s">
        <v>72</v>
      </c>
      <c r="B43" s="5" t="s">
        <v>73</v>
      </c>
      <c r="C43" s="5" t="s">
        <v>82</v>
      </c>
      <c r="D43" s="5" t="s">
        <v>83</v>
      </c>
      <c r="E43" s="5" t="s">
        <v>76</v>
      </c>
      <c r="F43" s="5" t="s">
        <v>77</v>
      </c>
      <c r="G43" s="6" t="n">
        <v>24.95</v>
      </c>
      <c r="H43" s="5" t="n">
        <v>1</v>
      </c>
      <c r="I43" s="6" t="n">
        <f aca="false">G43*H43</f>
        <v>24.95</v>
      </c>
      <c r="J43" s="7"/>
      <c r="K43" s="8"/>
      <c r="L43" s="6" t="n">
        <f aca="false">K43*H43</f>
        <v>0</v>
      </c>
    </row>
    <row r="44" customFormat="false" ht="15" hidden="false" customHeight="false" outlineLevel="0" collapsed="false">
      <c r="A44" s="5" t="s">
        <v>72</v>
      </c>
      <c r="B44" s="5" t="s">
        <v>73</v>
      </c>
      <c r="C44" s="5" t="s">
        <v>29</v>
      </c>
      <c r="D44" s="5" t="s">
        <v>30</v>
      </c>
      <c r="E44" s="5" t="s">
        <v>31</v>
      </c>
      <c r="F44" s="5" t="s">
        <v>32</v>
      </c>
      <c r="G44" s="6" t="n">
        <v>29.95</v>
      </c>
      <c r="H44" s="5" t="n">
        <v>1</v>
      </c>
      <c r="I44" s="6" t="n">
        <f aca="false">G44*H44</f>
        <v>29.95</v>
      </c>
      <c r="J44" s="7"/>
      <c r="K44" s="8"/>
      <c r="L44" s="6" t="n">
        <f aca="false">K44*H44</f>
        <v>0</v>
      </c>
    </row>
    <row r="45" customFormat="false" ht="15" hidden="false" customHeight="false" outlineLevel="0" collapsed="false">
      <c r="A45" s="9"/>
      <c r="B45" s="9"/>
      <c r="C45" s="9"/>
      <c r="D45" s="10" t="s">
        <v>84</v>
      </c>
      <c r="E45" s="9"/>
      <c r="F45" s="9"/>
      <c r="G45" s="9"/>
      <c r="H45" s="9"/>
      <c r="I45" s="11" t="n">
        <f aca="false">SUM(I40:I44)</f>
        <v>184.75</v>
      </c>
      <c r="J45" s="9"/>
      <c r="K45" s="9"/>
      <c r="L45" s="11" t="n">
        <f aca="false">SUM(L40:L44)</f>
        <v>0</v>
      </c>
    </row>
    <row r="47" customFormat="false" ht="15" hidden="false" customHeight="false" outlineLevel="0" collapsed="false">
      <c r="A47" s="5" t="s">
        <v>85</v>
      </c>
      <c r="B47" s="5" t="s">
        <v>86</v>
      </c>
      <c r="C47" s="5" t="s">
        <v>87</v>
      </c>
      <c r="D47" s="5" t="s">
        <v>88</v>
      </c>
      <c r="E47" s="5" t="s">
        <v>76</v>
      </c>
      <c r="F47" s="5" t="s">
        <v>77</v>
      </c>
      <c r="G47" s="6" t="n">
        <v>89.95</v>
      </c>
      <c r="H47" s="5" t="n">
        <v>1</v>
      </c>
      <c r="I47" s="6" t="n">
        <f aca="false">G47*H47</f>
        <v>89.95</v>
      </c>
      <c r="J47" s="7"/>
      <c r="K47" s="8"/>
      <c r="L47" s="6" t="n">
        <f aca="false">K47*H47</f>
        <v>0</v>
      </c>
    </row>
    <row r="48" customFormat="false" ht="15" hidden="false" customHeight="false" outlineLevel="0" collapsed="false">
      <c r="A48" s="5" t="s">
        <v>85</v>
      </c>
      <c r="B48" s="5" t="s">
        <v>86</v>
      </c>
      <c r="C48" s="5" t="s">
        <v>89</v>
      </c>
      <c r="D48" s="5" t="s">
        <v>90</v>
      </c>
      <c r="E48" s="5" t="s">
        <v>76</v>
      </c>
      <c r="F48" s="5" t="s">
        <v>77</v>
      </c>
      <c r="G48" s="6" t="n">
        <v>119.95</v>
      </c>
      <c r="H48" s="5" t="n">
        <v>1</v>
      </c>
      <c r="I48" s="6" t="n">
        <f aca="false">G48*H48</f>
        <v>119.95</v>
      </c>
      <c r="J48" s="7"/>
      <c r="K48" s="8"/>
      <c r="L48" s="6" t="n">
        <f aca="false">K48*H48</f>
        <v>0</v>
      </c>
    </row>
    <row r="49" customFormat="false" ht="15" hidden="false" customHeight="false" outlineLevel="0" collapsed="false">
      <c r="A49" s="5" t="s">
        <v>85</v>
      </c>
      <c r="B49" s="5" t="s">
        <v>86</v>
      </c>
      <c r="C49" s="5" t="s">
        <v>91</v>
      </c>
      <c r="D49" s="5" t="s">
        <v>92</v>
      </c>
      <c r="E49" s="5" t="s">
        <v>76</v>
      </c>
      <c r="F49" s="5" t="s">
        <v>77</v>
      </c>
      <c r="G49" s="6" t="n">
        <v>69.95</v>
      </c>
      <c r="H49" s="5" t="n">
        <v>1</v>
      </c>
      <c r="I49" s="6" t="n">
        <f aca="false">G49*H49</f>
        <v>69.95</v>
      </c>
      <c r="J49" s="7"/>
      <c r="K49" s="8"/>
      <c r="L49" s="6" t="n">
        <f aca="false">K49*H49</f>
        <v>0</v>
      </c>
    </row>
    <row r="50" customFormat="false" ht="15" hidden="false" customHeight="false" outlineLevel="0" collapsed="false">
      <c r="A50" s="5" t="s">
        <v>85</v>
      </c>
      <c r="B50" s="5" t="s">
        <v>86</v>
      </c>
      <c r="C50" s="5" t="s">
        <v>93</v>
      </c>
      <c r="D50" s="5" t="s">
        <v>94</v>
      </c>
      <c r="E50" s="5" t="s">
        <v>76</v>
      </c>
      <c r="F50" s="5" t="s">
        <v>77</v>
      </c>
      <c r="G50" s="6" t="n">
        <v>64.95</v>
      </c>
      <c r="H50" s="5" t="n">
        <v>1</v>
      </c>
      <c r="I50" s="6" t="n">
        <f aca="false">G50*H50</f>
        <v>64.95</v>
      </c>
      <c r="J50" s="7"/>
      <c r="K50" s="8"/>
      <c r="L50" s="6" t="n">
        <f aca="false">K50*H50</f>
        <v>0</v>
      </c>
    </row>
    <row r="51" customFormat="false" ht="15" hidden="false" customHeight="false" outlineLevel="0" collapsed="false">
      <c r="A51" s="5" t="s">
        <v>85</v>
      </c>
      <c r="B51" s="5" t="s">
        <v>86</v>
      </c>
      <c r="C51" s="5" t="s">
        <v>63</v>
      </c>
      <c r="D51" s="5" t="s">
        <v>64</v>
      </c>
      <c r="E51" s="5" t="s">
        <v>65</v>
      </c>
      <c r="F51" s="5" t="s">
        <v>32</v>
      </c>
      <c r="G51" s="6" t="n">
        <v>34.95</v>
      </c>
      <c r="H51" s="5" t="n">
        <v>1</v>
      </c>
      <c r="I51" s="6" t="n">
        <f aca="false">G51*H51</f>
        <v>34.95</v>
      </c>
      <c r="J51" s="7"/>
      <c r="K51" s="8"/>
      <c r="L51" s="6" t="n">
        <f aca="false">K51*H51</f>
        <v>0</v>
      </c>
    </row>
    <row r="52" customFormat="false" ht="15" hidden="false" customHeight="false" outlineLevel="0" collapsed="false">
      <c r="A52" s="9"/>
      <c r="B52" s="9"/>
      <c r="C52" s="9"/>
      <c r="D52" s="10" t="s">
        <v>95</v>
      </c>
      <c r="E52" s="9"/>
      <c r="F52" s="9"/>
      <c r="G52" s="9"/>
      <c r="H52" s="9"/>
      <c r="I52" s="11" t="n">
        <f aca="false">SUM(I47:I51)</f>
        <v>379.75</v>
      </c>
      <c r="J52" s="9"/>
      <c r="K52" s="9"/>
      <c r="L52" s="11" t="n">
        <f aca="false">SUM(L47:L51)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6" min="5" style="0" width="20"/>
    <col collapsed="false" customWidth="true" hidden="false" outlineLevel="0" max="7" min="7" style="0" width="14"/>
    <col collapsed="false" customWidth="true" hidden="false" outlineLevel="0" max="8" min="8" style="0" width="17"/>
  </cols>
  <sheetData>
    <row r="1" customFormat="false" ht="18.55" hidden="false" customHeight="false" outlineLevel="0" collapsed="false">
      <c r="A1" s="12" t="s">
        <v>96</v>
      </c>
    </row>
    <row r="2" customFormat="false" ht="15" hidden="false" customHeight="false" outlineLevel="0" collapsed="false">
      <c r="A2" s="3" t="s">
        <v>97</v>
      </c>
    </row>
    <row r="4" customFormat="false" ht="15" hidden="false" customHeight="false" outlineLevel="0" collapsed="false">
      <c r="A4" s="13" t="s">
        <v>98</v>
      </c>
      <c r="B4" s="13" t="s">
        <v>3</v>
      </c>
      <c r="C4" s="13" t="s">
        <v>4</v>
      </c>
      <c r="D4" s="13" t="s">
        <v>99</v>
      </c>
      <c r="E4" s="13" t="s">
        <v>100</v>
      </c>
      <c r="F4" s="13" t="s">
        <v>101</v>
      </c>
      <c r="G4" s="13" t="s">
        <v>102</v>
      </c>
      <c r="H4" s="13" t="s">
        <v>103</v>
      </c>
    </row>
    <row r="5" customFormat="false" ht="15" hidden="false" customHeight="false" outlineLevel="0" collapsed="false">
      <c r="A5" s="5" t="s">
        <v>104</v>
      </c>
      <c r="B5" s="14" t="s">
        <v>15</v>
      </c>
      <c r="C5" s="5" t="s">
        <v>16</v>
      </c>
      <c r="D5" s="5" t="n">
        <v>4</v>
      </c>
      <c r="E5" s="15" t="n">
        <f aca="false">Kits!I10</f>
        <v>119.8</v>
      </c>
      <c r="F5" s="16"/>
      <c r="G5" s="6" t="str">
        <f aca="false">IF(F5="","",F5-E5)</f>
        <v/>
      </c>
      <c r="H5" s="17" t="str">
        <f aca="false">IFERROR(IF(F5="","",(F5-E5)/F5),"")</f>
        <v/>
      </c>
    </row>
    <row r="6" customFormat="false" ht="15" hidden="false" customHeight="false" outlineLevel="0" collapsed="false">
      <c r="A6" s="5" t="s">
        <v>104</v>
      </c>
      <c r="B6" s="14" t="s">
        <v>34</v>
      </c>
      <c r="C6" s="5" t="s">
        <v>35</v>
      </c>
      <c r="D6" s="5" t="n">
        <v>8</v>
      </c>
      <c r="E6" s="15" t="n">
        <f aca="false">Kits!I20</f>
        <v>274.6</v>
      </c>
      <c r="F6" s="16"/>
      <c r="G6" s="6" t="str">
        <f aca="false">IF(F6="","",F6-E6)</f>
        <v/>
      </c>
      <c r="H6" s="17" t="str">
        <f aca="false">IFERROR(IF(F6="","",(F6-E6)/F6),"")</f>
        <v/>
      </c>
    </row>
    <row r="7" customFormat="false" ht="15" hidden="false" customHeight="false" outlineLevel="0" collapsed="false">
      <c r="A7" s="5" t="s">
        <v>104</v>
      </c>
      <c r="B7" s="14" t="s">
        <v>50</v>
      </c>
      <c r="C7" s="5" t="s">
        <v>51</v>
      </c>
      <c r="D7" s="5" t="n">
        <v>5</v>
      </c>
      <c r="E7" s="15" t="n">
        <f aca="false">Kits!I27</f>
        <v>169.75</v>
      </c>
      <c r="F7" s="16"/>
      <c r="G7" s="6" t="str">
        <f aca="false">IF(F7="","",F7-E7)</f>
        <v/>
      </c>
      <c r="H7" s="17" t="str">
        <f aca="false">IFERROR(IF(F7="","",(F7-E7)/F7),"")</f>
        <v/>
      </c>
    </row>
    <row r="8" customFormat="false" ht="15" hidden="false" customHeight="false" outlineLevel="0" collapsed="false">
      <c r="A8" s="5" t="s">
        <v>105</v>
      </c>
      <c r="B8" s="14" t="s">
        <v>57</v>
      </c>
      <c r="C8" s="5" t="s">
        <v>58</v>
      </c>
      <c r="D8" s="5" t="n">
        <v>3</v>
      </c>
      <c r="E8" s="15" t="n">
        <f aca="false">Kits!I32</f>
        <v>139.85</v>
      </c>
      <c r="F8" s="16"/>
      <c r="G8" s="6" t="str">
        <f aca="false">IF(F8="","",F8-E8)</f>
        <v/>
      </c>
      <c r="H8" s="17" t="str">
        <f aca="false">IFERROR(IF(F8="","",(F8-E8)/F8),"")</f>
        <v/>
      </c>
    </row>
    <row r="9" customFormat="false" ht="15" hidden="false" customHeight="false" outlineLevel="0" collapsed="false">
      <c r="A9" s="5" t="s">
        <v>105</v>
      </c>
      <c r="B9" s="14" t="s">
        <v>67</v>
      </c>
      <c r="C9" s="5" t="s">
        <v>68</v>
      </c>
      <c r="D9" s="5" t="n">
        <v>4</v>
      </c>
      <c r="E9" s="15" t="n">
        <f aca="false">Kits!I38</f>
        <v>169.8</v>
      </c>
      <c r="F9" s="16"/>
      <c r="G9" s="6" t="str">
        <f aca="false">IF(F9="","",F9-E9)</f>
        <v/>
      </c>
      <c r="H9" s="17" t="str">
        <f aca="false">IFERROR(IF(F9="","",(F9-E9)/F9),"")</f>
        <v/>
      </c>
    </row>
    <row r="10" customFormat="false" ht="15" hidden="false" customHeight="false" outlineLevel="0" collapsed="false">
      <c r="A10" s="5" t="s">
        <v>106</v>
      </c>
      <c r="B10" s="14" t="s">
        <v>72</v>
      </c>
      <c r="C10" s="5" t="s">
        <v>73</v>
      </c>
      <c r="D10" s="5" t="n">
        <v>5</v>
      </c>
      <c r="E10" s="15" t="n">
        <f aca="false">Kits!I45</f>
        <v>184.75</v>
      </c>
      <c r="F10" s="16"/>
      <c r="G10" s="6" t="str">
        <f aca="false">IF(F10="","",F10-E10)</f>
        <v/>
      </c>
      <c r="H10" s="17" t="str">
        <f aca="false">IFERROR(IF(F10="","",(F10-E10)/F10),"")</f>
        <v/>
      </c>
    </row>
    <row r="11" customFormat="false" ht="15" hidden="false" customHeight="false" outlineLevel="0" collapsed="false">
      <c r="A11" s="5" t="s">
        <v>106</v>
      </c>
      <c r="B11" s="14" t="s">
        <v>85</v>
      </c>
      <c r="C11" s="5" t="s">
        <v>86</v>
      </c>
      <c r="D11" s="5" t="n">
        <v>5</v>
      </c>
      <c r="E11" s="15" t="n">
        <f aca="false">Kits!I52</f>
        <v>379.75</v>
      </c>
      <c r="F11" s="16"/>
      <c r="G11" s="6" t="str">
        <f aca="false">IF(F11="","",F11-E11)</f>
        <v/>
      </c>
      <c r="H11" s="17" t="str">
        <f aca="false">IFERROR(IF(F11="","",(F11-E11)/F11),"")</f>
        <v/>
      </c>
    </row>
    <row r="13" customFormat="false" ht="15" hidden="false" customHeight="false" outlineLevel="0" collapsed="false">
      <c r="A13" s="2" t="s">
        <v>107</v>
      </c>
    </row>
    <row r="14" customFormat="false" ht="15" hidden="false" customHeight="false" outlineLevel="0" collapsed="false">
      <c r="A14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2026-08-30T23:32:17Z</dcterms:created>
  <dc:creator>openpyxl</dc:creator>
  <dc:description/>
  <dc:language>en-US</dc:language>
  <cp:lastModifiedBy/>
  <dcterms:modified xsi:type="dcterms:W3CDTF">2026-08-30T23:32:17Z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